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 Test Cases" sheetId="1" state="visible" r:id="rId3"/>
    <sheet name="Summary" sheetId="2" state="visible" r:id="rId4"/>
  </sheets>
  <definedNames>
    <definedName function="false" hidden="true" localSheetId="0" name="_xlnm._FilterDatabase" vbProcedure="false">'Login Test Cases'!$A$2:$J$20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<sst xmlns="http://schemas.openxmlformats.org/spreadsheetml/2006/main" count="163" uniqueCount="113">
  <si>
    <t xml:space="preserve">Login Test Cases</t>
  </si>
  <si>
    <t xml:space="preserve">TC ID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</si>
  <si>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</si>
  <si>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</si>
  <si>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</si>
  <si>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</si>
  <si>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</si>
  <si>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</si>
  <si>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</si>
  <si>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</si>
  <si>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</si>
  <si>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LOGIN-001</t>
  </si>
  <si>
    <t xml:space="preserve">Login with valid credentials</t>
  </si>
  <si>
    <t xml:space="preserve">User registered</t>
  </si>
  <si>
    <t xml:space="preserve">1. Open login page
2. Enter email and password
3. Click Login</t>
  </si>
  <si>
    <t xml:space="preserve">valid@example.com / Test@1234</t>
  </si>
  <si>
    <t xml:space="preserve">User logged in and redirected to home/dashboard</t>
  </si>
  <si>
    <t xml:space="preserve">Not Run</t>
  </si>
  <si>
    <t xml:space="preserve">High</t>
  </si>
  <si>
    <t xml:space="preserve">LOGIN-002</t>
  </si>
  <si>
    <t xml:space="preserve">Login with invalid password</t>
  </si>
  <si>
    <t xml:space="preserve">1. Open login page
2. Enter valid email, wrong password
3. Click Login</t>
  </si>
  <si>
    <t xml:space="preserve">valid@example.com / Wrong@123</t>
  </si>
  <si>
    <t xml:space="preserve">Error: 'Invalid email or password'; user stays on login page</t>
  </si>
  <si>
    <t xml:space="preserve">LOGIN-003</t>
  </si>
  <si>
    <t xml:space="preserve">Login with unregistered email</t>
  </si>
  <si>
    <t xml:space="preserve">None</t>
  </si>
  <si>
    <t xml:space="preserve">1. Open login page
2. Enter unregistered email and any password
3. Click Login</t>
  </si>
  <si>
    <t xml:space="preserve">nouser@example.com / Test@1234</t>
  </si>
  <si>
    <t xml:space="preserve">Error message shown; no account details revealed</t>
  </si>
  <si>
    <t xml:space="preserve">LOGIN-004</t>
  </si>
  <si>
    <t xml:space="preserve">Login with empty fields</t>
  </si>
  <si>
    <t xml:space="preserve">1. Open login page
2. Leave both fields blank
3. Click Login</t>
  </si>
  <si>
    <t xml:space="preserve">Blank</t>
  </si>
  <si>
    <t xml:space="preserve">Mandatory field validation shown for email and password</t>
  </si>
  <si>
    <t xml:space="preserve">LOGIN-005</t>
  </si>
  <si>
    <t xml:space="preserve">Login with empty password</t>
  </si>
  <si>
    <t xml:space="preserve">1. Enter valid email
2. Leave password blank
3. Click Login</t>
  </si>
  <si>
    <t xml:space="preserve">valid@example.com</t>
  </si>
  <si>
    <t xml:space="preserve">'Password is required' message shown</t>
  </si>
  <si>
    <t xml:space="preserve">Medium</t>
  </si>
  <si>
    <t xml:space="preserve">LOGIN-006</t>
  </si>
  <si>
    <t xml:space="preserve">Invalid email format</t>
  </si>
  <si>
    <t xml:space="preserve">1. Enter email without '@'
2. Enter password
3. Click Login</t>
  </si>
  <si>
    <t xml:space="preserve">validexample.com / Test@1234</t>
  </si>
  <si>
    <t xml:space="preserve">'Enter a valid email' message shown</t>
  </si>
  <si>
    <t xml:space="preserve">LOGIN-007</t>
  </si>
  <si>
    <t xml:space="preserve">Password field is masked</t>
  </si>
  <si>
    <t xml:space="preserve">1. Type in password field</t>
  </si>
  <si>
    <t xml:space="preserve">Test@1234</t>
  </si>
  <si>
    <t xml:space="preserve">Characters shown as dots/asterisks</t>
  </si>
  <si>
    <t xml:space="preserve">LOGIN-008</t>
  </si>
  <si>
    <t xml:space="preserve">Show/hide password toggle</t>
  </si>
  <si>
    <t xml:space="preserve">1. Type password
2. Click eye icon</t>
  </si>
  <si>
    <t xml:space="preserve">Password toggles between visible and hidden</t>
  </si>
  <si>
    <t xml:space="preserve">Low</t>
  </si>
  <si>
    <t xml:space="preserve">LOGIN-009</t>
  </si>
  <si>
    <t xml:space="preserve">Account lock after 5 failed attempts</t>
  </si>
  <si>
    <t xml:space="preserve">1. Enter wrong password 5 times</t>
  </si>
  <si>
    <t xml:space="preserve">Wrong@123</t>
  </si>
  <si>
    <t xml:space="preserve">Account temporarily locked; lock message displayed</t>
  </si>
  <si>
    <t xml:space="preserve">LOGIN-010</t>
  </si>
  <si>
    <t xml:space="preserve">Forgot password with registered email</t>
  </si>
  <si>
    <t xml:space="preserve">1. Click Forgot Password
2. Enter email
3. Submit</t>
  </si>
  <si>
    <t xml:space="preserve">Reset link sent to email; confirmation shown</t>
  </si>
  <si>
    <t xml:space="preserve">LOGIN-011</t>
  </si>
  <si>
    <t xml:space="preserve">Forgot password with unregistered email</t>
  </si>
  <si>
    <t xml:space="preserve">1. Click Forgot Password
2. Enter unknown email
3. Submit</t>
  </si>
  <si>
    <t xml:space="preserve">nouser@example.com</t>
  </si>
  <si>
    <t xml:space="preserve">Generic or appropriate message; no user enumeration</t>
  </si>
  <si>
    <t xml:space="preserve">LOGIN-012</t>
  </si>
  <si>
    <t xml:space="preserve">Reset password with expired link</t>
  </si>
  <si>
    <t xml:space="preserve">Reset link older than expiry</t>
  </si>
  <si>
    <t xml:space="preserve">1. Open expired reset link</t>
  </si>
  <si>
    <t xml:space="preserve">Expired link</t>
  </si>
  <si>
    <t xml:space="preserve">'Link expired' message with option to request a new one</t>
  </si>
  <si>
    <t xml:space="preserve">LOGIN-013</t>
  </si>
  <si>
    <t xml:space="preserve">Logout</t>
  </si>
  <si>
    <t xml:space="preserve">User logged in</t>
  </si>
  <si>
    <t xml:space="preserve">1. Click Logout</t>
  </si>
  <si>
    <t xml:space="preserve">N/A</t>
  </si>
  <si>
    <t xml:space="preserve">Session ended; redirected to login/home</t>
  </si>
  <si>
    <t xml:space="preserve">LOGIN-014</t>
  </si>
  <si>
    <t xml:space="preserve">Back button after logout</t>
  </si>
  <si>
    <t xml:space="preserve">User logged out</t>
  </si>
  <si>
    <t xml:space="preserve">1. Click browser Back</t>
  </si>
  <si>
    <t xml:space="preserve">Protected pages not accessible; redirected to login</t>
  </si>
  <si>
    <t xml:space="preserve">LOGIN-015</t>
  </si>
  <si>
    <t xml:space="preserve">Remember Me</t>
  </si>
  <si>
    <t xml:space="preserve">1. Login with Remember Me checked
2. Close and reopen browser</t>
  </si>
  <si>
    <t xml:space="preserve">Valid credentials</t>
  </si>
  <si>
    <t xml:space="preserve">User remains logged in</t>
  </si>
  <si>
    <t xml:space="preserve">LOGIN-016</t>
  </si>
  <si>
    <t xml:space="preserve">Login via Enter key</t>
  </si>
  <si>
    <t xml:space="preserve">1. Fill credentials
2. Press Enter</t>
  </si>
  <si>
    <t xml:space="preserve">Form submits and user logs in</t>
  </si>
  <si>
    <t xml:space="preserve">LOGIN-017</t>
  </si>
  <si>
    <t xml:space="preserve">SQL injection in email field</t>
  </si>
  <si>
    <t xml:space="preserve">1. Enter SQL string in email
2. Click Login</t>
  </si>
  <si>
    <t xml:space="preserve">' OR '1'='1</t>
  </si>
  <si>
    <t xml:space="preserve">Login rejected; input sanitised; no error stack shown</t>
  </si>
  <si>
    <t xml:space="preserve">LOGIN-018</t>
  </si>
  <si>
    <t xml:space="preserve">Login page on mobile</t>
  </si>
  <si>
    <t xml:space="preserve">Mobile device / responsive mode</t>
  </si>
  <si>
    <t xml:space="preserve">1. Open login page on 375px width</t>
  </si>
  <si>
    <t xml:space="preserve">Layout responsive; no overlap; fields usable</t>
  </si>
  <si>
    <t xml:space="preserve">Execution Summary</t>
  </si>
  <si>
    <t xml:space="preserve">Total Test Cases</t>
  </si>
  <si>
    <t xml:space="preserve">Pass</t>
  </si>
  <si>
    <t xml:space="preserve">Fail</t>
  </si>
  <si>
    <t xml:space="preserve">Blocked</t>
  </si>
  <si>
    <t xml:space="preserve">Skipped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</si>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</sst>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5.05" hidden="false" customHeight="fals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/>
      <c r="H3" s="3" t="s">
        <v>17</v>
      </c>
      <c r="I3" s="3" t="s">
        <v>18</v>
      </c>
      <c r="J3" s="4"/>
    </row>
    <row r="4" customFormat="false" ht="35.05" hidden="false" customHeight="false" outlineLevel="0" collapsed="false">
      <c r="A4" s="3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4" t="s">
        <v>23</v>
      </c>
      <c r="G4" s="4"/>
      <c r="H4" s="3" t="s">
        <v>17</v>
      </c>
      <c r="I4" s="3" t="s">
        <v>18</v>
      </c>
      <c r="J4" s="4"/>
    </row>
    <row r="5" customFormat="false" ht="35.05" hidden="false" customHeight="false" outlineLevel="0" collapsed="false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/>
      <c r="H5" s="3" t="s">
        <v>17</v>
      </c>
      <c r="I5" s="3" t="s">
        <v>18</v>
      </c>
      <c r="J5" s="4"/>
    </row>
    <row r="6" customFormat="false" ht="35.05" hidden="false" customHeight="false" outlineLevel="0" collapsed="false">
      <c r="A6" s="3" t="s">
        <v>30</v>
      </c>
      <c r="B6" s="4" t="s">
        <v>31</v>
      </c>
      <c r="C6" s="4" t="s">
        <v>26</v>
      </c>
      <c r="D6" s="4" t="s">
        <v>32</v>
      </c>
      <c r="E6" s="4" t="s">
        <v>33</v>
      </c>
      <c r="F6" s="4" t="s">
        <v>34</v>
      </c>
      <c r="G6" s="4"/>
      <c r="H6" s="3" t="s">
        <v>17</v>
      </c>
      <c r="I6" s="3" t="s">
        <v>18</v>
      </c>
      <c r="J6" s="4"/>
    </row>
    <row r="7" customFormat="false" ht="35.05" hidden="false" customHeight="false" outlineLevel="0" collapsed="false">
      <c r="A7" s="3" t="s">
        <v>35</v>
      </c>
      <c r="B7" s="4" t="s">
        <v>36</v>
      </c>
      <c r="C7" s="4" t="s">
        <v>26</v>
      </c>
      <c r="D7" s="4" t="s">
        <v>37</v>
      </c>
      <c r="E7" s="4" t="s">
        <v>38</v>
      </c>
      <c r="F7" s="4" t="s">
        <v>39</v>
      </c>
      <c r="G7" s="4"/>
      <c r="H7" s="3" t="s">
        <v>17</v>
      </c>
      <c r="I7" s="3" t="s">
        <v>40</v>
      </c>
      <c r="J7" s="4"/>
    </row>
    <row r="8" customFormat="false" ht="35.05" hidden="false" customHeight="false" outlineLevel="0" collapsed="false">
      <c r="A8" s="3" t="s">
        <v>41</v>
      </c>
      <c r="B8" s="4" t="s">
        <v>42</v>
      </c>
      <c r="C8" s="4" t="s">
        <v>26</v>
      </c>
      <c r="D8" s="4" t="s">
        <v>43</v>
      </c>
      <c r="E8" s="4" t="s">
        <v>44</v>
      </c>
      <c r="F8" s="4" t="s">
        <v>45</v>
      </c>
      <c r="G8" s="4"/>
      <c r="H8" s="3" t="s">
        <v>17</v>
      </c>
      <c r="I8" s="3" t="s">
        <v>40</v>
      </c>
      <c r="J8" s="4"/>
    </row>
    <row r="9" customFormat="false" ht="15" hidden="false" customHeight="false" outlineLevel="0" collapsed="false">
      <c r="A9" s="3" t="s">
        <v>46</v>
      </c>
      <c r="B9" s="4" t="s">
        <v>47</v>
      </c>
      <c r="C9" s="4" t="s">
        <v>26</v>
      </c>
      <c r="D9" s="4" t="s">
        <v>48</v>
      </c>
      <c r="E9" s="4" t="s">
        <v>49</v>
      </c>
      <c r="F9" s="4" t="s">
        <v>50</v>
      </c>
      <c r="G9" s="4"/>
      <c r="H9" s="3" t="s">
        <v>17</v>
      </c>
      <c r="I9" s="3" t="s">
        <v>18</v>
      </c>
      <c r="J9" s="4"/>
    </row>
    <row r="10" customFormat="false" ht="23.85" hidden="false" customHeight="false" outlineLevel="0" collapsed="false">
      <c r="A10" s="3" t="s">
        <v>51</v>
      </c>
      <c r="B10" s="4" t="s">
        <v>52</v>
      </c>
      <c r="C10" s="4" t="s">
        <v>26</v>
      </c>
      <c r="D10" s="4" t="s">
        <v>53</v>
      </c>
      <c r="E10" s="4" t="s">
        <v>49</v>
      </c>
      <c r="F10" s="4" t="s">
        <v>54</v>
      </c>
      <c r="G10" s="4"/>
      <c r="H10" s="3" t="s">
        <v>17</v>
      </c>
      <c r="I10" s="3" t="s">
        <v>55</v>
      </c>
      <c r="J10" s="4"/>
    </row>
    <row r="11" customFormat="false" ht="15" hidden="false" customHeight="false" outlineLevel="0" collapsed="false">
      <c r="A11" s="3" t="s">
        <v>56</v>
      </c>
      <c r="B11" s="4" t="s">
        <v>57</v>
      </c>
      <c r="C11" s="4" t="s">
        <v>13</v>
      </c>
      <c r="D11" s="4" t="s">
        <v>58</v>
      </c>
      <c r="E11" s="4" t="s">
        <v>59</v>
      </c>
      <c r="F11" s="4" t="s">
        <v>60</v>
      </c>
      <c r="G11" s="4"/>
      <c r="H11" s="3" t="s">
        <v>17</v>
      </c>
      <c r="I11" s="3" t="s">
        <v>18</v>
      </c>
      <c r="J11" s="4"/>
    </row>
    <row r="12" customFormat="false" ht="35.05" hidden="false" customHeight="false" outlineLevel="0" collapsed="false">
      <c r="A12" s="3" t="s">
        <v>61</v>
      </c>
      <c r="B12" s="4" t="s">
        <v>62</v>
      </c>
      <c r="C12" s="4" t="s">
        <v>13</v>
      </c>
      <c r="D12" s="4" t="s">
        <v>63</v>
      </c>
      <c r="E12" s="4" t="s">
        <v>38</v>
      </c>
      <c r="F12" s="4" t="s">
        <v>64</v>
      </c>
      <c r="G12" s="4"/>
      <c r="H12" s="3" t="s">
        <v>17</v>
      </c>
      <c r="I12" s="3" t="s">
        <v>18</v>
      </c>
      <c r="J12" s="4"/>
    </row>
    <row r="13" customFormat="false" ht="35.05" hidden="false" customHeight="false" outlineLevel="0" collapsed="false">
      <c r="A13" s="3" t="s">
        <v>65</v>
      </c>
      <c r="B13" s="4" t="s">
        <v>66</v>
      </c>
      <c r="C13" s="4" t="s">
        <v>26</v>
      </c>
      <c r="D13" s="4" t="s">
        <v>67</v>
      </c>
      <c r="E13" s="4" t="s">
        <v>68</v>
      </c>
      <c r="F13" s="4" t="s">
        <v>69</v>
      </c>
      <c r="G13" s="4"/>
      <c r="H13" s="3" t="s">
        <v>17</v>
      </c>
      <c r="I13" s="3" t="s">
        <v>40</v>
      </c>
      <c r="J13" s="4"/>
    </row>
    <row r="14" customFormat="false" ht="23.85" hidden="false" customHeight="false" outlineLevel="0" collapsed="false">
      <c r="A14" s="3" t="s">
        <v>70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75</v>
      </c>
      <c r="G14" s="4"/>
      <c r="H14" s="3" t="s">
        <v>17</v>
      </c>
      <c r="I14" s="3" t="s">
        <v>40</v>
      </c>
      <c r="J14" s="4"/>
    </row>
    <row r="15" customFormat="false" ht="15" hidden="false" customHeight="false" outlineLevel="0" collapsed="false">
      <c r="A15" s="3" t="s">
        <v>76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4"/>
      <c r="H15" s="3" t="s">
        <v>17</v>
      </c>
      <c r="I15" s="3" t="s">
        <v>18</v>
      </c>
      <c r="J15" s="4"/>
    </row>
    <row r="16" customFormat="false" ht="15" hidden="false" customHeight="false" outlineLevel="0" collapsed="false">
      <c r="A16" s="3" t="s">
        <v>82</v>
      </c>
      <c r="B16" s="4" t="s">
        <v>83</v>
      </c>
      <c r="C16" s="4" t="s">
        <v>84</v>
      </c>
      <c r="D16" s="4" t="s">
        <v>85</v>
      </c>
      <c r="E16" s="4" t="s">
        <v>80</v>
      </c>
      <c r="F16" s="4" t="s">
        <v>86</v>
      </c>
      <c r="G16" s="4"/>
      <c r="H16" s="3" t="s">
        <v>17</v>
      </c>
      <c r="I16" s="3" t="s">
        <v>18</v>
      </c>
      <c r="J16" s="4"/>
    </row>
    <row r="17" customFormat="false" ht="23.85" hidden="false" customHeight="false" outlineLevel="0" collapsed="false">
      <c r="A17" s="3" t="s">
        <v>87</v>
      </c>
      <c r="B17" s="4" t="s">
        <v>88</v>
      </c>
      <c r="C17" s="4" t="s">
        <v>13</v>
      </c>
      <c r="D17" s="4" t="s">
        <v>89</v>
      </c>
      <c r="E17" s="4" t="s">
        <v>90</v>
      </c>
      <c r="F17" s="4" t="s">
        <v>91</v>
      </c>
      <c r="G17" s="4"/>
      <c r="H17" s="3" t="s">
        <v>17</v>
      </c>
      <c r="I17" s="3" t="s">
        <v>55</v>
      </c>
      <c r="J17" s="4"/>
    </row>
    <row r="18" customFormat="false" ht="23.85" hidden="false" customHeight="false" outlineLevel="0" collapsed="false">
      <c r="A18" s="3" t="s">
        <v>92</v>
      </c>
      <c r="B18" s="4" t="s">
        <v>93</v>
      </c>
      <c r="C18" s="4" t="s">
        <v>26</v>
      </c>
      <c r="D18" s="4" t="s">
        <v>94</v>
      </c>
      <c r="E18" s="4" t="s">
        <v>15</v>
      </c>
      <c r="F18" s="4" t="s">
        <v>95</v>
      </c>
      <c r="G18" s="4"/>
      <c r="H18" s="3" t="s">
        <v>17</v>
      </c>
      <c r="I18" s="3" t="s">
        <v>55</v>
      </c>
      <c r="J18" s="4"/>
    </row>
    <row r="19" customFormat="false" ht="23.85" hidden="false" customHeight="false" outlineLevel="0" collapsed="false">
      <c r="A19" s="3" t="s">
        <v>96</v>
      </c>
      <c r="B19" s="4" t="s">
        <v>97</v>
      </c>
      <c r="C19" s="4" t="s">
        <v>26</v>
      </c>
      <c r="D19" s="4" t="s">
        <v>98</v>
      </c>
      <c r="E19" s="4" t="s">
        <v>99</v>
      </c>
      <c r="F19" s="4" t="s">
        <v>100</v>
      </c>
      <c r="G19" s="4"/>
      <c r="H19" s="3" t="s">
        <v>17</v>
      </c>
      <c r="I19" s="3" t="s">
        <v>18</v>
      </c>
      <c r="J19" s="4"/>
    </row>
    <row r="20" customFormat="false" ht="15" hidden="false" customHeight="false" outlineLevel="0" collapsed="false">
      <c r="A20" s="3" t="s">
        <v>101</v>
      </c>
      <c r="B20" s="4" t="s">
        <v>102</v>
      </c>
      <c r="C20" s="4" t="s">
        <v>103</v>
      </c>
      <c r="D20" s="4" t="s">
        <v>104</v>
      </c>
      <c r="E20" s="4" t="s">
        <v>80</v>
      </c>
      <c r="F20" s="4" t="s">
        <v>105</v>
      </c>
      <c r="G20" s="4"/>
      <c r="H20" s="3" t="s">
        <v>17</v>
      </c>
      <c r="I20" s="3" t="s">
        <v>40</v>
      </c>
      <c r="J20" s="4"/>
    </row>
  </sheetData>
  <autoFilter ref="A2:J20"/>
  <mergeCells count="1">
    <mergeCell ref="A1:J1"/>
  </mergeCells>
  <conditionalFormatting sqref="H3:H20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2">
    <dataValidation allowBlank="false" errorStyle="stop" operator="between" showDropDown="false" showErrorMessage="false" showInputMessage="false" sqref="H3:H20" type="list">
      <formula1>"Not Run,Pass,Fail,Blocked,Skipped"</formula1>
      <formula2>0</formula2>
    </dataValidation>
    <dataValidation allowBlank="false" errorStyle="stop" operator="between" showDropDown="false" showErrorMessage="false" showInputMessage="false" sqref="I3:I2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106</v>
      </c>
    </row>
    <row r="3" customFormat="false" ht="15" hidden="false" customHeight="false" outlineLevel="0" collapsed="false">
      <c r="A3" s="6" t="s">
        <v>107</v>
      </c>
      <c r="B3" s="7" t="n">
        <f aca="false">COUNTA('Login Test Cases'!A3:A20)</f>
        <v>18</v>
      </c>
    </row>
    <row r="4" customFormat="false" ht="15" hidden="false" customHeight="false" outlineLevel="0" collapsed="false">
      <c r="A4" s="6" t="s">
        <v>108</v>
      </c>
      <c r="B4" s="7" t="n">
        <f aca="false">COUNTIF('Login Test Cases'!H3:H20,"Pass")</f>
        <v>0</v>
      </c>
    </row>
    <row r="5" customFormat="false" ht="15" hidden="false" customHeight="false" outlineLevel="0" collapsed="false">
      <c r="A5" s="6" t="s">
        <v>109</v>
      </c>
      <c r="B5" s="7" t="n">
        <f aca="false">COUNTIF('Login Test Cases'!H3:H20,"Fail")</f>
        <v>0</v>
      </c>
    </row>
    <row r="6" customFormat="false" ht="15" hidden="false" customHeight="false" outlineLevel="0" collapsed="false">
      <c r="A6" s="6" t="s">
        <v>110</v>
      </c>
      <c r="B6" s="7" t="n">
        <f aca="false">COUNTIF('Login Test Cases'!H3:H20,"Blocked")</f>
        <v>0</v>
      </c>
    </row>
    <row r="7" customFormat="false" ht="15" hidden="false" customHeight="false" outlineLevel="0" collapsed="false">
      <c r="A7" s="6" t="s">
        <v>111</v>
      </c>
      <c r="B7" s="7" t="n">
        <f aca="false">COUNTIF('Login Test Cases'!H3:H20,"Skipped")</f>
        <v>0</v>
      </c>
    </row>
    <row r="8" customFormat="false" ht="15" hidden="false" customHeight="false" outlineLevel="0" collapsed="false">
      <c r="A8" s="6" t="s">
        <v>17</v>
      </c>
      <c r="B8" s="7" t="n">
        <f aca="false">COUNTIF('Login Test Cases'!H3:H20,"Not Run")</f>
        <v>18</v>
      </c>
    </row>
    <row r="9" customFormat="false" ht="15" hidden="false" customHeight="false" outlineLevel="0" collapsed="false">
      <c r="A9" s="6" t="s">
        <v>112</v>
      </c>
      <c r="B9" s="8" t="n">
        <f aca="false">IF(B3=0,0,B4/B3)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2026-10-20T13:08:38Z</dcterms:created>
  <dc:creator>openpyxl</dc:creator>
  <dc:description/>
  <dc:language>en-US</dc:language>
  <cp:lastModifiedBy/>
  <dcterms:modified xsi:type="dcterms:W3CDTF">2026-10-20T13:08:38Z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