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Test Cases" sheetId="1" state="visible" r:id="rId3"/>
    <sheet name="Summary" sheetId="2" state="visible" r:id="rId4"/>
  </sheets>
  <definedNames>
    <definedName function="false" hidden="true" localSheetId="0" name="_xlnm._FilterDatabase" vbProcedure="false">'Product Test Cases'!$A$2:$J$26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<sst xmlns="http://schemas.openxmlformats.org/spreadsheetml/2006/main" count="211" uniqueCount="144">
  <si>
    <t xml:space="preserve">Product Test Cases</t>
  </si>
  <si>
    <t xml:space="preserve">TC ID</t>
  </si>
  <si>
    <t xml:space="preserve">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</si>
  <si>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</si>
  <si>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</si>
  <si>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</si>
  <si>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</si>
  <si>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</si>
  <si>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</si>
  <si>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</si>
  <si>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</si>
  <si>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PRD-001</t>
  </si>
  <si>
    <t xml:space="preserve">Product listing loads</t>
  </si>
  <si>
    <t xml:space="preserve">None</t>
  </si>
  <si>
    <t xml:space="preserve">1. Open Products / category page</t>
  </si>
  <si>
    <t xml:space="preserve">N/A</t>
  </si>
  <si>
    <t xml:space="preserve">Products displayed with image, name, price</t>
  </si>
  <si>
    <t xml:space="preserve">Not Run</t>
  </si>
  <si>
    <t xml:space="preserve">High</t>
  </si>
  <si>
    <t xml:space="preserve">PRD-002</t>
  </si>
  <si>
    <t xml:space="preserve">Search with valid keyword</t>
  </si>
  <si>
    <t xml:space="preserve">1. Type keyword in search
2. Press Enter</t>
  </si>
  <si>
    <t xml:space="preserve">'shoes'</t>
  </si>
  <si>
    <t xml:space="preserve">Relevant products displayed</t>
  </si>
  <si>
    <t xml:space="preserve">PRD-003</t>
  </si>
  <si>
    <t xml:space="preserve">Search with no matching result</t>
  </si>
  <si>
    <t xml:space="preserve">1. Search for gibberish</t>
  </si>
  <si>
    <t xml:space="preserve">'xyzabc123'</t>
  </si>
  <si>
    <t xml:space="preserve">'No results found' message with suggestions</t>
  </si>
  <si>
    <t xml:space="preserve">Medium</t>
  </si>
  <si>
    <t xml:space="preserve">PRD-004</t>
  </si>
  <si>
    <t xml:space="preserve">Search with empty input</t>
  </si>
  <si>
    <t xml:space="preserve">1. Click search with empty box</t>
  </si>
  <si>
    <t xml:space="preserve">Blank</t>
  </si>
  <si>
    <t xml:space="preserve">No crash; stays on page or shows all products</t>
  </si>
  <si>
    <t xml:space="preserve">Low</t>
  </si>
  <si>
    <t xml:space="preserve">PRD-005</t>
  </si>
  <si>
    <t xml:space="preserve">Search with special characters</t>
  </si>
  <si>
    <t xml:space="preserve">1. Search special characters</t>
  </si>
  <si>
    <t xml:space="preserve">@#$%^&amp;*</t>
  </si>
  <si>
    <t xml:space="preserve">No error; handled gracefully</t>
  </si>
  <si>
    <t xml:space="preserve">PRD-006</t>
  </si>
  <si>
    <t xml:space="preserve">Filter by price range</t>
  </si>
  <si>
    <t xml:space="preserve">Listing open</t>
  </si>
  <si>
    <t xml:space="preserve">1. Set min and max price
2. Apply</t>
  </si>
  <si>
    <t xml:space="preserve">500 - 1000</t>
  </si>
  <si>
    <t xml:space="preserve">Only products within range shown</t>
  </si>
  <si>
    <t xml:space="preserve">PRD-007</t>
  </si>
  <si>
    <t xml:space="preserve">Filter by brand</t>
  </si>
  <si>
    <t xml:space="preserve">1. Select a brand filter</t>
  </si>
  <si>
    <t xml:space="preserve">Brand A</t>
  </si>
  <si>
    <t xml:space="preserve">Only that brand's products shown</t>
  </si>
  <si>
    <t xml:space="preserve">PRD-008</t>
  </si>
  <si>
    <t xml:space="preserve">Combine multiple filters</t>
  </si>
  <si>
    <t xml:space="preserve">1. Apply brand + price + rating</t>
  </si>
  <si>
    <t xml:space="preserve">Multiple</t>
  </si>
  <si>
    <t xml:space="preserve">Results satisfy all filters; count updates</t>
  </si>
  <si>
    <t xml:space="preserve">PRD-009</t>
  </si>
  <si>
    <t xml:space="preserve">Clear filters</t>
  </si>
  <si>
    <t xml:space="preserve">Filters applied</t>
  </si>
  <si>
    <t xml:space="preserve">1. Click Clear All</t>
  </si>
  <si>
    <t xml:space="preserve">All products shown again</t>
  </si>
  <si>
    <t xml:space="preserve">PRD-010</t>
  </si>
  <si>
    <t xml:space="preserve">Sort price low to high</t>
  </si>
  <si>
    <t xml:space="preserve">1. Choose 'Price: Low to High'</t>
  </si>
  <si>
    <t xml:space="preserve">Products in ascending price order</t>
  </si>
  <si>
    <t xml:space="preserve">PRD-011</t>
  </si>
  <si>
    <t xml:space="preserve">Sort price high to low</t>
  </si>
  <si>
    <t xml:space="preserve">1. Choose 'Price: High to Low'</t>
  </si>
  <si>
    <t xml:space="preserve">Products in descending price order</t>
  </si>
  <si>
    <t xml:space="preserve">PRD-012</t>
  </si>
  <si>
    <t xml:space="preserve">Pagination works</t>
  </si>
  <si>
    <t xml:space="preserve">More than one page of products</t>
  </si>
  <si>
    <t xml:space="preserve">1. Click page 2 / Next</t>
  </si>
  <si>
    <t xml:space="preserve">Next set of products loaded; no duplicates</t>
  </si>
  <si>
    <t xml:space="preserve">PRD-013</t>
  </si>
  <si>
    <t xml:space="preserve">Product detail page content</t>
  </si>
  <si>
    <t xml:space="preserve">1. Click a product</t>
  </si>
  <si>
    <t xml:space="preserve">Title, images, price, description, stock, reviews visible</t>
  </si>
  <si>
    <t xml:space="preserve">PRD-014</t>
  </si>
  <si>
    <t xml:space="preserve">Product image gallery</t>
  </si>
  <si>
    <t xml:space="preserve">Product with multiple images</t>
  </si>
  <si>
    <t xml:space="preserve">1. Click thumbnails
2. Zoom image</t>
  </si>
  <si>
    <t xml:space="preserve">Image changes and zooms correctly</t>
  </si>
  <si>
    <t xml:space="preserve">PRD-015</t>
  </si>
  <si>
    <t xml:space="preserve">Select size/colour variant</t>
  </si>
  <si>
    <t xml:space="preserve">Variant product</t>
  </si>
  <si>
    <t xml:space="preserve">1. Choose size and colour</t>
  </si>
  <si>
    <t xml:space="preserve">M / Blue</t>
  </si>
  <si>
    <t xml:space="preserve">Price and stock update per variant</t>
  </si>
  <si>
    <t xml:space="preserve">PRD-016</t>
  </si>
  <si>
    <t xml:space="preserve">Add to cart from detail page</t>
  </si>
  <si>
    <t xml:space="preserve">1. Select qty
2. Click Add to Cart</t>
  </si>
  <si>
    <t xml:space="preserve">Qty 1</t>
  </si>
  <si>
    <t xml:space="preserve">Item added; cart count updates; confirmation shown</t>
  </si>
  <si>
    <t xml:space="preserve">PRD-017</t>
  </si>
  <si>
    <t xml:space="preserve">Add out-of-stock product</t>
  </si>
  <si>
    <t xml:space="preserve">Out-of-stock item</t>
  </si>
  <si>
    <t xml:space="preserve">1. Open product</t>
  </si>
  <si>
    <t xml:space="preserve">Add to Cart disabled; 'Out of stock' shown</t>
  </si>
  <si>
    <t xml:space="preserve">PRD-018</t>
  </si>
  <si>
    <t xml:space="preserve">Quantity boundary: zero and negative</t>
  </si>
  <si>
    <t xml:space="preserve">Product page</t>
  </si>
  <si>
    <t xml:space="preserve">1. Enter 0 then -1 in quantity</t>
  </si>
  <si>
    <t xml:space="preserve">0, -1</t>
  </si>
  <si>
    <t xml:space="preserve">Rejected; minimum quantity is 1</t>
  </si>
  <si>
    <t xml:space="preserve">PRD-019</t>
  </si>
  <si>
    <t xml:space="preserve">Quantity above stock limit</t>
  </si>
  <si>
    <t xml:space="preserve">Stock = 5</t>
  </si>
  <si>
    <t xml:space="preserve">1. Enter 10 and add to cart</t>
  </si>
  <si>
    <t xml:space="preserve">10</t>
  </si>
  <si>
    <t xml:space="preserve">Error showing max available quantity</t>
  </si>
  <si>
    <t xml:space="preserve">PRD-020</t>
  </si>
  <si>
    <t xml:space="preserve">Update quantity in cart</t>
  </si>
  <si>
    <t xml:space="preserve">Item in cart</t>
  </si>
  <si>
    <t xml:space="preserve">1. Increase qty to 3</t>
  </si>
  <si>
    <t xml:space="preserve">3</t>
  </si>
  <si>
    <t xml:space="preserve">Subtotal and total recalculated correctly</t>
  </si>
  <si>
    <t xml:space="preserve">PRD-021</t>
  </si>
  <si>
    <t xml:space="preserve">Remove item from cart</t>
  </si>
  <si>
    <t xml:space="preserve">1. Click Remove</t>
  </si>
  <si>
    <t xml:space="preserve">Item removed; totals updated; empty cart message if none</t>
  </si>
  <si>
    <t xml:space="preserve">PRD-022</t>
  </si>
  <si>
    <t xml:space="preserve">Cart persists after re-login</t>
  </si>
  <si>
    <t xml:space="preserve">Item in cart, user logged in</t>
  </si>
  <si>
    <t xml:space="preserve">1. Logout
2. Login again</t>
  </si>
  <si>
    <t xml:space="preserve">Cart items still present</t>
  </si>
  <si>
    <t xml:space="preserve">PRD-023</t>
  </si>
  <si>
    <t xml:space="preserve">Add to wishlist</t>
  </si>
  <si>
    <t xml:space="preserve">User logged in</t>
  </si>
  <si>
    <t xml:space="preserve">1. Click heart icon</t>
  </si>
  <si>
    <t xml:space="preserve">Product saved to wishlist</t>
  </si>
  <si>
    <t xml:space="preserve">PRD-024</t>
  </si>
  <si>
    <t xml:space="preserve">Product page responsive</t>
  </si>
  <si>
    <t xml:space="preserve">Mobile view</t>
  </si>
  <si>
    <t xml:space="preserve">1. Open product page at 375px</t>
  </si>
  <si>
    <t xml:space="preserve">Layout adjusts; buttons usable</t>
  </si>
  <si>
    <t xml:space="preserve">Execution Summary</t>
  </si>
  <si>
    <t xml:space="preserve">Total Test Cases</t>
  </si>
  <si>
    <t xml:space="preserve">Pass</t>
  </si>
  <si>
    <t xml:space="preserve">Fail</t>
  </si>
  <si>
    <t xml:space="preserve">Blocked</t>
  </si>
  <si>
    <t xml:space="preserve">Skipped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</si>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</sst>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/>
      <c r="H3" s="3" t="s">
        <v>17</v>
      </c>
      <c r="I3" s="3" t="s">
        <v>18</v>
      </c>
      <c r="J3" s="4"/>
    </row>
    <row r="4" customFormat="false" ht="23.85" hidden="false" customHeight="false" outlineLevel="0" collapsed="false">
      <c r="A4" s="3" t="s">
        <v>19</v>
      </c>
      <c r="B4" s="4" t="s">
        <v>20</v>
      </c>
      <c r="C4" s="4" t="s">
        <v>13</v>
      </c>
      <c r="D4" s="4" t="s">
        <v>21</v>
      </c>
      <c r="E4" s="4" t="s">
        <v>22</v>
      </c>
      <c r="F4" s="4" t="s">
        <v>23</v>
      </c>
      <c r="G4" s="4"/>
      <c r="H4" s="3" t="s">
        <v>17</v>
      </c>
      <c r="I4" s="3" t="s">
        <v>18</v>
      </c>
      <c r="J4" s="4"/>
    </row>
    <row r="5" customFormat="false" ht="15" hidden="false" customHeight="false" outlineLevel="0" collapsed="false">
      <c r="A5" s="3" t="s">
        <v>24</v>
      </c>
      <c r="B5" s="4" t="s">
        <v>25</v>
      </c>
      <c r="C5" s="4" t="s">
        <v>13</v>
      </c>
      <c r="D5" s="4" t="s">
        <v>26</v>
      </c>
      <c r="E5" s="4" t="s">
        <v>27</v>
      </c>
      <c r="F5" s="4" t="s">
        <v>28</v>
      </c>
      <c r="G5" s="4"/>
      <c r="H5" s="3" t="s">
        <v>17</v>
      </c>
      <c r="I5" s="3" t="s">
        <v>29</v>
      </c>
      <c r="J5" s="4"/>
    </row>
    <row r="6" customFormat="false" ht="15" hidden="false" customHeight="false" outlineLevel="0" collapsed="false">
      <c r="A6" s="3" t="s">
        <v>30</v>
      </c>
      <c r="B6" s="4" t="s">
        <v>31</v>
      </c>
      <c r="C6" s="4" t="s">
        <v>13</v>
      </c>
      <c r="D6" s="4" t="s">
        <v>32</v>
      </c>
      <c r="E6" s="4" t="s">
        <v>33</v>
      </c>
      <c r="F6" s="4" t="s">
        <v>34</v>
      </c>
      <c r="G6" s="4"/>
      <c r="H6" s="3" t="s">
        <v>17</v>
      </c>
      <c r="I6" s="3" t="s">
        <v>35</v>
      </c>
      <c r="J6" s="4"/>
    </row>
    <row r="7" customFormat="false" ht="15" hidden="false" customHeight="false" outlineLevel="0" collapsed="false">
      <c r="A7" s="3" t="s">
        <v>36</v>
      </c>
      <c r="B7" s="4" t="s">
        <v>37</v>
      </c>
      <c r="C7" s="4" t="s">
        <v>13</v>
      </c>
      <c r="D7" s="4" t="s">
        <v>38</v>
      </c>
      <c r="E7" s="4" t="s">
        <v>39</v>
      </c>
      <c r="F7" s="4" t="s">
        <v>40</v>
      </c>
      <c r="G7" s="4"/>
      <c r="H7" s="3" t="s">
        <v>17</v>
      </c>
      <c r="I7" s="3" t="s">
        <v>35</v>
      </c>
      <c r="J7" s="4"/>
    </row>
    <row r="8" customFormat="false" ht="23.85" hidden="false" customHeight="false" outlineLevel="0" collapsed="false">
      <c r="A8" s="3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/>
      <c r="H8" s="3" t="s">
        <v>17</v>
      </c>
      <c r="I8" s="3" t="s">
        <v>18</v>
      </c>
      <c r="J8" s="4"/>
    </row>
    <row r="9" customFormat="false" ht="15" hidden="false" customHeight="false" outlineLevel="0" collapsed="false">
      <c r="A9" s="3" t="s">
        <v>47</v>
      </c>
      <c r="B9" s="4" t="s">
        <v>48</v>
      </c>
      <c r="C9" s="4" t="s">
        <v>43</v>
      </c>
      <c r="D9" s="4" t="s">
        <v>49</v>
      </c>
      <c r="E9" s="4" t="s">
        <v>50</v>
      </c>
      <c r="F9" s="4" t="s">
        <v>51</v>
      </c>
      <c r="G9" s="4"/>
      <c r="H9" s="3" t="s">
        <v>17</v>
      </c>
      <c r="I9" s="3" t="s">
        <v>29</v>
      </c>
      <c r="J9" s="4"/>
    </row>
    <row r="10" customFormat="false" ht="15" hidden="false" customHeight="false" outlineLevel="0" collapsed="false">
      <c r="A10" s="3" t="s">
        <v>52</v>
      </c>
      <c r="B10" s="4" t="s">
        <v>53</v>
      </c>
      <c r="C10" s="4" t="s">
        <v>43</v>
      </c>
      <c r="D10" s="4" t="s">
        <v>54</v>
      </c>
      <c r="E10" s="4" t="s">
        <v>55</v>
      </c>
      <c r="F10" s="4" t="s">
        <v>56</v>
      </c>
      <c r="G10" s="4"/>
      <c r="H10" s="3" t="s">
        <v>17</v>
      </c>
      <c r="I10" s="3" t="s">
        <v>29</v>
      </c>
      <c r="J10" s="4"/>
    </row>
    <row r="11" customFormat="false" ht="15" hidden="false" customHeight="false" outlineLevel="0" collapsed="false">
      <c r="A11" s="3" t="s">
        <v>57</v>
      </c>
      <c r="B11" s="4" t="s">
        <v>58</v>
      </c>
      <c r="C11" s="4" t="s">
        <v>59</v>
      </c>
      <c r="D11" s="4" t="s">
        <v>60</v>
      </c>
      <c r="E11" s="4" t="s">
        <v>15</v>
      </c>
      <c r="F11" s="4" t="s">
        <v>61</v>
      </c>
      <c r="G11" s="4"/>
      <c r="H11" s="3" t="s">
        <v>17</v>
      </c>
      <c r="I11" s="3" t="s">
        <v>35</v>
      </c>
      <c r="J11" s="4"/>
    </row>
    <row r="12" customFormat="false" ht="15" hidden="false" customHeight="false" outlineLevel="0" collapsed="false">
      <c r="A12" s="3" t="s">
        <v>62</v>
      </c>
      <c r="B12" s="4" t="s">
        <v>63</v>
      </c>
      <c r="C12" s="4" t="s">
        <v>43</v>
      </c>
      <c r="D12" s="4" t="s">
        <v>64</v>
      </c>
      <c r="E12" s="4" t="s">
        <v>15</v>
      </c>
      <c r="F12" s="4" t="s">
        <v>65</v>
      </c>
      <c r="G12" s="4"/>
      <c r="H12" s="3" t="s">
        <v>17</v>
      </c>
      <c r="I12" s="3" t="s">
        <v>18</v>
      </c>
      <c r="J12" s="4"/>
    </row>
    <row r="13" customFormat="false" ht="15" hidden="false" customHeight="false" outlineLevel="0" collapsed="false">
      <c r="A13" s="3" t="s">
        <v>66</v>
      </c>
      <c r="B13" s="4" t="s">
        <v>67</v>
      </c>
      <c r="C13" s="4" t="s">
        <v>43</v>
      </c>
      <c r="D13" s="4" t="s">
        <v>68</v>
      </c>
      <c r="E13" s="4" t="s">
        <v>15</v>
      </c>
      <c r="F13" s="4" t="s">
        <v>69</v>
      </c>
      <c r="G13" s="4"/>
      <c r="H13" s="3" t="s">
        <v>17</v>
      </c>
      <c r="I13" s="3" t="s">
        <v>18</v>
      </c>
      <c r="J13" s="4"/>
    </row>
    <row r="14" customFormat="false" ht="15" hidden="false" customHeight="false" outlineLevel="0" collapsed="false">
      <c r="A14" s="3" t="s">
        <v>70</v>
      </c>
      <c r="B14" s="4" t="s">
        <v>71</v>
      </c>
      <c r="C14" s="4" t="s">
        <v>72</v>
      </c>
      <c r="D14" s="4" t="s">
        <v>73</v>
      </c>
      <c r="E14" s="4" t="s">
        <v>15</v>
      </c>
      <c r="F14" s="4" t="s">
        <v>74</v>
      </c>
      <c r="G14" s="4"/>
      <c r="H14" s="3" t="s">
        <v>17</v>
      </c>
      <c r="I14" s="3" t="s">
        <v>29</v>
      </c>
      <c r="J14" s="4"/>
    </row>
    <row r="15" customFormat="false" ht="15" hidden="false" customHeight="false" outlineLevel="0" collapsed="false">
      <c r="A15" s="3" t="s">
        <v>75</v>
      </c>
      <c r="B15" s="4" t="s">
        <v>76</v>
      </c>
      <c r="C15" s="4" t="s">
        <v>13</v>
      </c>
      <c r="D15" s="4" t="s">
        <v>77</v>
      </c>
      <c r="E15" s="4" t="s">
        <v>15</v>
      </c>
      <c r="F15" s="4" t="s">
        <v>78</v>
      </c>
      <c r="G15" s="4"/>
      <c r="H15" s="3" t="s">
        <v>17</v>
      </c>
      <c r="I15" s="3" t="s">
        <v>18</v>
      </c>
      <c r="J15" s="4"/>
    </row>
    <row r="16" customFormat="false" ht="23.85" hidden="false" customHeight="false" outlineLevel="0" collapsed="false">
      <c r="A16" s="3" t="s">
        <v>79</v>
      </c>
      <c r="B16" s="4" t="s">
        <v>80</v>
      </c>
      <c r="C16" s="4" t="s">
        <v>81</v>
      </c>
      <c r="D16" s="4" t="s">
        <v>82</v>
      </c>
      <c r="E16" s="4" t="s">
        <v>15</v>
      </c>
      <c r="F16" s="4" t="s">
        <v>83</v>
      </c>
      <c r="G16" s="4"/>
      <c r="H16" s="3" t="s">
        <v>17</v>
      </c>
      <c r="I16" s="3" t="s">
        <v>35</v>
      </c>
      <c r="J16" s="4"/>
    </row>
    <row r="17" customFormat="false" ht="15" hidden="false" customHeight="false" outlineLevel="0" collapsed="false">
      <c r="A17" s="3" t="s">
        <v>84</v>
      </c>
      <c r="B17" s="4" t="s">
        <v>85</v>
      </c>
      <c r="C17" s="4" t="s">
        <v>86</v>
      </c>
      <c r="D17" s="4" t="s">
        <v>87</v>
      </c>
      <c r="E17" s="4" t="s">
        <v>88</v>
      </c>
      <c r="F17" s="4" t="s">
        <v>89</v>
      </c>
      <c r="G17" s="4"/>
      <c r="H17" s="3" t="s">
        <v>17</v>
      </c>
      <c r="I17" s="3" t="s">
        <v>29</v>
      </c>
      <c r="J17" s="4"/>
    </row>
    <row r="18" customFormat="false" ht="23.85" hidden="false" customHeight="false" outlineLevel="0" collapsed="false">
      <c r="A18" s="3" t="s">
        <v>90</v>
      </c>
      <c r="B18" s="4" t="s">
        <v>91</v>
      </c>
      <c r="C18" s="4" t="s">
        <v>13</v>
      </c>
      <c r="D18" s="4" t="s">
        <v>92</v>
      </c>
      <c r="E18" s="4" t="s">
        <v>93</v>
      </c>
      <c r="F18" s="4" t="s">
        <v>94</v>
      </c>
      <c r="G18" s="4"/>
      <c r="H18" s="3" t="s">
        <v>17</v>
      </c>
      <c r="I18" s="3" t="s">
        <v>18</v>
      </c>
      <c r="J18" s="4"/>
    </row>
    <row r="19" customFormat="false" ht="15" hidden="false" customHeight="false" outlineLevel="0" collapsed="false">
      <c r="A19" s="3" t="s">
        <v>95</v>
      </c>
      <c r="B19" s="4" t="s">
        <v>96</v>
      </c>
      <c r="C19" s="4" t="s">
        <v>97</v>
      </c>
      <c r="D19" s="4" t="s">
        <v>98</v>
      </c>
      <c r="E19" s="4" t="s">
        <v>15</v>
      </c>
      <c r="F19" s="4" t="s">
        <v>99</v>
      </c>
      <c r="G19" s="4"/>
      <c r="H19" s="3" t="s">
        <v>17</v>
      </c>
      <c r="I19" s="3" t="s">
        <v>18</v>
      </c>
      <c r="J19" s="4"/>
    </row>
    <row r="20" customFormat="false" ht="15" hidden="false" customHeight="false" outlineLevel="0" collapsed="false">
      <c r="A20" s="3" t="s">
        <v>100</v>
      </c>
      <c r="B20" s="4" t="s">
        <v>101</v>
      </c>
      <c r="C20" s="4" t="s">
        <v>102</v>
      </c>
      <c r="D20" s="4" t="s">
        <v>103</v>
      </c>
      <c r="E20" s="4" t="s">
        <v>104</v>
      </c>
      <c r="F20" s="4" t="s">
        <v>105</v>
      </c>
      <c r="G20" s="4"/>
      <c r="H20" s="3" t="s">
        <v>17</v>
      </c>
      <c r="I20" s="3" t="s">
        <v>29</v>
      </c>
      <c r="J20" s="4"/>
    </row>
    <row r="21" customFormat="false" ht="15" hidden="false" customHeight="false" outlineLevel="0" collapsed="false">
      <c r="A21" s="3" t="s">
        <v>106</v>
      </c>
      <c r="B21" s="4" t="s">
        <v>107</v>
      </c>
      <c r="C21" s="4" t="s">
        <v>108</v>
      </c>
      <c r="D21" s="4" t="s">
        <v>109</v>
      </c>
      <c r="E21" s="4" t="s">
        <v>110</v>
      </c>
      <c r="F21" s="4" t="s">
        <v>111</v>
      </c>
      <c r="G21" s="4"/>
      <c r="H21" s="3" t="s">
        <v>17</v>
      </c>
      <c r="I21" s="3" t="s">
        <v>29</v>
      </c>
      <c r="J21" s="4"/>
    </row>
    <row r="22" customFormat="false" ht="15" hidden="false" customHeight="false" outlineLevel="0" collapsed="false">
      <c r="A22" s="3" t="s">
        <v>112</v>
      </c>
      <c r="B22" s="4" t="s">
        <v>113</v>
      </c>
      <c r="C22" s="4" t="s">
        <v>114</v>
      </c>
      <c r="D22" s="4" t="s">
        <v>115</v>
      </c>
      <c r="E22" s="4" t="s">
        <v>116</v>
      </c>
      <c r="F22" s="4" t="s">
        <v>117</v>
      </c>
      <c r="G22" s="4"/>
      <c r="H22" s="3" t="s">
        <v>17</v>
      </c>
      <c r="I22" s="3" t="s">
        <v>18</v>
      </c>
      <c r="J22" s="4"/>
    </row>
    <row r="23" customFormat="false" ht="23.85" hidden="false" customHeight="false" outlineLevel="0" collapsed="false">
      <c r="A23" s="3" t="s">
        <v>118</v>
      </c>
      <c r="B23" s="4" t="s">
        <v>119</v>
      </c>
      <c r="C23" s="4" t="s">
        <v>114</v>
      </c>
      <c r="D23" s="4" t="s">
        <v>120</v>
      </c>
      <c r="E23" s="4" t="s">
        <v>15</v>
      </c>
      <c r="F23" s="4" t="s">
        <v>121</v>
      </c>
      <c r="G23" s="4"/>
      <c r="H23" s="3" t="s">
        <v>17</v>
      </c>
      <c r="I23" s="3" t="s">
        <v>18</v>
      </c>
      <c r="J23" s="4"/>
    </row>
    <row r="24" customFormat="false" ht="23.85" hidden="false" customHeight="false" outlineLevel="0" collapsed="false">
      <c r="A24" s="3" t="s">
        <v>122</v>
      </c>
      <c r="B24" s="4" t="s">
        <v>123</v>
      </c>
      <c r="C24" s="4" t="s">
        <v>124</v>
      </c>
      <c r="D24" s="4" t="s">
        <v>125</v>
      </c>
      <c r="E24" s="4" t="s">
        <v>15</v>
      </c>
      <c r="F24" s="4" t="s">
        <v>126</v>
      </c>
      <c r="G24" s="4"/>
      <c r="H24" s="3" t="s">
        <v>17</v>
      </c>
      <c r="I24" s="3" t="s">
        <v>29</v>
      </c>
      <c r="J24" s="4"/>
    </row>
    <row r="25" customFormat="false" ht="15" hidden="false" customHeight="false" outlineLevel="0" collapsed="false">
      <c r="A25" s="3" t="s">
        <v>127</v>
      </c>
      <c r="B25" s="4" t="s">
        <v>128</v>
      </c>
      <c r="C25" s="4" t="s">
        <v>129</v>
      </c>
      <c r="D25" s="4" t="s">
        <v>130</v>
      </c>
      <c r="E25" s="4" t="s">
        <v>15</v>
      </c>
      <c r="F25" s="4" t="s">
        <v>131</v>
      </c>
      <c r="G25" s="4"/>
      <c r="H25" s="3" t="s">
        <v>17</v>
      </c>
      <c r="I25" s="3" t="s">
        <v>35</v>
      </c>
      <c r="J25" s="4"/>
    </row>
    <row r="26" customFormat="false" ht="15" hidden="false" customHeight="false" outlineLevel="0" collapsed="false">
      <c r="A26" s="3" t="s">
        <v>132</v>
      </c>
      <c r="B26" s="4" t="s">
        <v>133</v>
      </c>
      <c r="C26" s="4" t="s">
        <v>134</v>
      </c>
      <c r="D26" s="4" t="s">
        <v>135</v>
      </c>
      <c r="E26" s="4" t="s">
        <v>15</v>
      </c>
      <c r="F26" s="4" t="s">
        <v>136</v>
      </c>
      <c r="G26" s="4"/>
      <c r="H26" s="3" t="s">
        <v>17</v>
      </c>
      <c r="I26" s="3" t="s">
        <v>29</v>
      </c>
      <c r="J26" s="4"/>
    </row>
  </sheetData>
  <autoFilter ref="A2:J26"/>
  <mergeCells count="1">
    <mergeCell ref="A1:J1"/>
  </mergeCells>
  <conditionalFormatting sqref="H3:H26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2">
    <dataValidation allowBlank="false" errorStyle="stop" operator="between" showDropDown="false" showErrorMessage="false" showInputMessage="false" sqref="H3:H26" type="list">
      <formula1>"Not Run,Pass,Fail,Blocked,Skipped"</formula1>
      <formula2>0</formula2>
    </dataValidation>
    <dataValidation allowBlank="false" errorStyle="stop" operator="between" showDropDown="false" showErrorMessage="false" showInputMessage="false" sqref="I3:I2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137</v>
      </c>
    </row>
    <row r="3" customFormat="false" ht="15" hidden="false" customHeight="false" outlineLevel="0" collapsed="false">
      <c r="A3" s="6" t="s">
        <v>138</v>
      </c>
      <c r="B3" s="7" t="n">
        <f aca="false">COUNTA('Product Test Cases'!A3:A26)</f>
        <v>24</v>
      </c>
    </row>
    <row r="4" customFormat="false" ht="15" hidden="false" customHeight="false" outlineLevel="0" collapsed="false">
      <c r="A4" s="6" t="s">
        <v>139</v>
      </c>
      <c r="B4" s="7" t="n">
        <f aca="false">COUNTIF('Product Test Cases'!H3:H26,"Pass")</f>
        <v>0</v>
      </c>
    </row>
    <row r="5" customFormat="false" ht="15" hidden="false" customHeight="false" outlineLevel="0" collapsed="false">
      <c r="A5" s="6" t="s">
        <v>140</v>
      </c>
      <c r="B5" s="7" t="n">
        <f aca="false">COUNTIF('Product Test Cases'!H3:H26,"Fail")</f>
        <v>0</v>
      </c>
    </row>
    <row r="6" customFormat="false" ht="15" hidden="false" customHeight="false" outlineLevel="0" collapsed="false">
      <c r="A6" s="6" t="s">
        <v>141</v>
      </c>
      <c r="B6" s="7" t="n">
        <f aca="false">COUNTIF('Product Test Cases'!H3:H26,"Blocked")</f>
        <v>0</v>
      </c>
    </row>
    <row r="7" customFormat="false" ht="15" hidden="false" customHeight="false" outlineLevel="0" collapsed="false">
      <c r="A7" s="6" t="s">
        <v>142</v>
      </c>
      <c r="B7" s="7" t="n">
        <f aca="false">COUNTIF('Product Test Cases'!H3:H26,"Skipped")</f>
        <v>0</v>
      </c>
    </row>
    <row r="8" customFormat="false" ht="15" hidden="false" customHeight="false" outlineLevel="0" collapsed="false">
      <c r="A8" s="6" t="s">
        <v>17</v>
      </c>
      <c r="B8" s="7" t="n">
        <f aca="false">COUNTIF('Product Test Cases'!H3:H26,"Not Run")</f>
        <v>24</v>
      </c>
    </row>
    <row r="9" customFormat="false" ht="15" hidden="false" customHeight="false" outlineLevel="0" collapsed="false">
      <c r="A9" s="6" t="s">
        <v>143</v>
      </c>
      <c r="B9" s="8" t="n">
        <f aca="false">IF(B3=0,0,B4/B3)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2026-10-20T13:08:38Z</dcterms:created>
  <dc:creator>openpyxl</dc:creator>
  <dc:description/>
  <dc:language>en-US</dc:language>
  <cp:lastModifiedBy/>
  <dcterms:modified xsi:type="dcterms:W3CDTF">2026-10-20T13:08:38Z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