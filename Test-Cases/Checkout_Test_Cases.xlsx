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out Test Cases" sheetId="1" state="visible" r:id="rId3"/>
    <sheet name="Summary" sheetId="2" state="visible" r:id="rId4"/>
  </sheets>
  <definedNames>
    <definedName function="false" hidden="true" localSheetId="0" name="_xlnm._FilterDatabase" vbProcedure="false">'Checkout Test Cases'!$A$2:$J$28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<sst xmlns="http://schemas.openxmlformats.org/spreadsheetml/2006/main" count="227" uniqueCount="159">
  <si>
    <t xml:space="preserve">Checkout Test Cases</t>
  </si>
  <si>
    <t xml:space="preserve">TC ID</t>
  </si>
  <si>
    <t xml:space="preserve">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</si>
  <si>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</si>
  <si>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</si>
  <si>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</si>
  <si>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</si>
  <si>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</si>
  <si>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</si>
  <si>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</si>
  <si>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</si>
  <si>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CHK-001</t>
  </si>
  <si>
    <t xml:space="preserve">Proceed to checkout from cart</t>
  </si>
  <si>
    <t xml:space="preserve">Item in cart</t>
  </si>
  <si>
    <t xml:space="preserve">1. Open cart
2. Click Checkout</t>
  </si>
  <si>
    <t xml:space="preserve">N/A</t>
  </si>
  <si>
    <t xml:space="preserve">Checkout page opens with correct items</t>
  </si>
  <si>
    <t xml:space="preserve">Not Run</t>
  </si>
  <si>
    <t xml:space="preserve">High</t>
  </si>
  <si>
    <t xml:space="preserve">CHK-002</t>
  </si>
  <si>
    <t xml:space="preserve">Checkout redirects guest to login</t>
  </si>
  <si>
    <t xml:space="preserve">Guest with item in cart</t>
  </si>
  <si>
    <t xml:space="preserve">1. Click Checkout</t>
  </si>
  <si>
    <t xml:space="preserve">Prompt to login or continue as guest</t>
  </si>
  <si>
    <t xml:space="preserve">Medium</t>
  </si>
  <si>
    <t xml:space="preserve">CHK-003</t>
  </si>
  <si>
    <t xml:space="preserve">Add new shipping address</t>
  </si>
  <si>
    <t xml:space="preserve">Logged in</t>
  </si>
  <si>
    <t xml:space="preserve">1. Fill all address fields
2. Save</t>
  </si>
  <si>
    <t xml:space="preserve">Valid address</t>
  </si>
  <si>
    <t xml:space="preserve">Address saved and selected</t>
  </si>
  <si>
    <t xml:space="preserve">CHK-004</t>
  </si>
  <si>
    <t xml:space="preserve">Mandatory address fields</t>
  </si>
  <si>
    <t xml:space="preserve">Checkout page</t>
  </si>
  <si>
    <t xml:space="preserve">1. Leave fields blank
2. Continue</t>
  </si>
  <si>
    <t xml:space="preserve">Blank</t>
  </si>
  <si>
    <t xml:space="preserve">Validation messages shown for required fields</t>
  </si>
  <si>
    <t xml:space="preserve">CHK-005</t>
  </si>
  <si>
    <t xml:space="preserve">Invalid PIN / ZIP code</t>
  </si>
  <si>
    <t xml:space="preserve">1. Enter invalid postal code</t>
  </si>
  <si>
    <t xml:space="preserve">123</t>
  </si>
  <si>
    <t xml:space="preserve">'Invalid postal code' message</t>
  </si>
  <si>
    <t xml:space="preserve">CHK-006</t>
  </si>
  <si>
    <t xml:space="preserve">Invalid phone number</t>
  </si>
  <si>
    <t xml:space="preserve">1. Enter 5-digit phone</t>
  </si>
  <si>
    <t xml:space="preserve">12345</t>
  </si>
  <si>
    <t xml:space="preserve">Validation error shown</t>
  </si>
  <si>
    <t xml:space="preserve">CHK-007</t>
  </si>
  <si>
    <t xml:space="preserve">Select shipping method</t>
  </si>
  <si>
    <t xml:space="preserve">Address saved</t>
  </si>
  <si>
    <t xml:space="preserve">1. Choose Express shipping</t>
  </si>
  <si>
    <t xml:space="preserve">Express</t>
  </si>
  <si>
    <t xml:space="preserve">Shipping charge added to total</t>
  </si>
  <si>
    <t xml:space="preserve">CHK-008</t>
  </si>
  <si>
    <t xml:space="preserve">Apply valid coupon</t>
  </si>
  <si>
    <t xml:space="preserve">1. Enter coupon
2. Apply</t>
  </si>
  <si>
    <t xml:space="preserve">SAVE10</t>
  </si>
  <si>
    <t xml:space="preserve">Discount applied; total recalculated</t>
  </si>
  <si>
    <t xml:space="preserve">CHK-009</t>
  </si>
  <si>
    <t xml:space="preserve">Apply invalid coupon</t>
  </si>
  <si>
    <t xml:space="preserve">1. Enter wrong coupon</t>
  </si>
  <si>
    <t xml:space="preserve">INVALID1</t>
  </si>
  <si>
    <t xml:space="preserve">'Invalid coupon' message; total unchanged</t>
  </si>
  <si>
    <t xml:space="preserve">CHK-010</t>
  </si>
  <si>
    <t xml:space="preserve">Apply expired coupon</t>
  </si>
  <si>
    <t xml:space="preserve">Expired coupon exists</t>
  </si>
  <si>
    <t xml:space="preserve">1. Enter expired coupon</t>
  </si>
  <si>
    <t xml:space="preserve">OLD2020</t>
  </si>
  <si>
    <t xml:space="preserve">'Coupon expired' message</t>
  </si>
  <si>
    <t xml:space="preserve">CHK-011</t>
  </si>
  <si>
    <t xml:space="preserve">Order summary calculation</t>
  </si>
  <si>
    <t xml:space="preserve">Items in cart</t>
  </si>
  <si>
    <t xml:space="preserve">1. Verify subtotal, tax, shipping, discount</t>
  </si>
  <si>
    <t xml:space="preserve">Total = subtotal + tax + shipping - discount</t>
  </si>
  <si>
    <t xml:space="preserve">CHK-012</t>
  </si>
  <si>
    <t xml:space="preserve">Pay with valid credit card</t>
  </si>
  <si>
    <t xml:space="preserve">Sandbox card available</t>
  </si>
  <si>
    <t xml:space="preserve">1. Choose Card
2. Enter details
3. Pay</t>
  </si>
  <si>
    <t xml:space="preserve">4111 1111 1111 1111, 12/30, 123</t>
  </si>
  <si>
    <t xml:space="preserve">Payment succeeds; order confirmation shown</t>
  </si>
  <si>
    <t xml:space="preserve">CHK-013</t>
  </si>
  <si>
    <t xml:space="preserve">Pay with invalid card number</t>
  </si>
  <si>
    <t xml:space="preserve">1. Enter wrong card number
2. Pay</t>
  </si>
  <si>
    <t xml:space="preserve">1234 5678 9012 3456</t>
  </si>
  <si>
    <t xml:space="preserve">Error shown; order not placed</t>
  </si>
  <si>
    <t xml:space="preserve">CHK-014</t>
  </si>
  <si>
    <t xml:space="preserve">Pay with expired card</t>
  </si>
  <si>
    <t xml:space="preserve">1. Enter past expiry date
2. Pay</t>
  </si>
  <si>
    <t xml:space="preserve">01/20</t>
  </si>
  <si>
    <t xml:space="preserve">'Card expired' error</t>
  </si>
  <si>
    <t xml:space="preserve">CHK-015</t>
  </si>
  <si>
    <t xml:space="preserve">Pay with wrong CVV</t>
  </si>
  <si>
    <t xml:space="preserve">1. Enter wrong CVV
2. Pay</t>
  </si>
  <si>
    <t xml:space="preserve">000</t>
  </si>
  <si>
    <t xml:space="preserve">Payment declined with clear error</t>
  </si>
  <si>
    <t xml:space="preserve">CHK-016</t>
  </si>
  <si>
    <t xml:space="preserve">Cash on Delivery order</t>
  </si>
  <si>
    <t xml:space="preserve">COD available</t>
  </si>
  <si>
    <t xml:space="preserve">1. Select COD
2. Place order</t>
  </si>
  <si>
    <t xml:space="preserve">Order placed with status 'Pending payment'</t>
  </si>
  <si>
    <t xml:space="preserve">CHK-017</t>
  </si>
  <si>
    <t xml:space="preserve">UPI / wallet payment</t>
  </si>
  <si>
    <t xml:space="preserve">Payment method enabled</t>
  </si>
  <si>
    <t xml:space="preserve">1. Select UPI
2. Complete payment</t>
  </si>
  <si>
    <t xml:space="preserve">test@upi</t>
  </si>
  <si>
    <t xml:space="preserve">Order placed on successful payment</t>
  </si>
  <si>
    <t xml:space="preserve">CHK-018</t>
  </si>
  <si>
    <t xml:space="preserve">Payment failure keeps cart</t>
  </si>
  <si>
    <t xml:space="preserve">Gateway sandbox set to fail</t>
  </si>
  <si>
    <t xml:space="preserve">1. Make payment that fails</t>
  </si>
  <si>
    <t xml:space="preserve">Failure card</t>
  </si>
  <si>
    <t xml:space="preserve">Error shown; cart intact; no duplicate order</t>
  </si>
  <si>
    <t xml:space="preserve">CHK-019</t>
  </si>
  <si>
    <t xml:space="preserve">Double click on Place Order</t>
  </si>
  <si>
    <t xml:space="preserve">Checkout ready</t>
  </si>
  <si>
    <t xml:space="preserve">1. Double-click Place Order quickly</t>
  </si>
  <si>
    <t xml:space="preserve">Only one order created</t>
  </si>
  <si>
    <t xml:space="preserve">CHK-020</t>
  </si>
  <si>
    <t xml:space="preserve">Order confirmation page</t>
  </si>
  <si>
    <t xml:space="preserve">Order placed</t>
  </si>
  <si>
    <t xml:space="preserve">1. Observe confirmation page</t>
  </si>
  <si>
    <t xml:space="preserve">Order ID, items, total and delivery date displayed</t>
  </si>
  <si>
    <t xml:space="preserve">CHK-021</t>
  </si>
  <si>
    <t xml:space="preserve">Confirmation email received</t>
  </si>
  <si>
    <t xml:space="preserve">1. Check inbox</t>
  </si>
  <si>
    <t xml:space="preserve">Email with correct order details received</t>
  </si>
  <si>
    <t xml:space="preserve">CHK-022</t>
  </si>
  <si>
    <t xml:space="preserve">Order in order history</t>
  </si>
  <si>
    <t xml:space="preserve">1. Open My Orders</t>
  </si>
  <si>
    <t xml:space="preserve">New order listed with correct status</t>
  </si>
  <si>
    <t xml:space="preserve">CHK-023</t>
  </si>
  <si>
    <t xml:space="preserve">Cancel order</t>
  </si>
  <si>
    <t xml:space="preserve">Order not yet shipped</t>
  </si>
  <si>
    <t xml:space="preserve">1. Open order
2. Click Cancel</t>
  </si>
  <si>
    <t xml:space="preserve">Order cancelled; refund/status updated</t>
  </si>
  <si>
    <t xml:space="preserve">CHK-024</t>
  </si>
  <si>
    <t xml:space="preserve">Stock reduces after order</t>
  </si>
  <si>
    <t xml:space="preserve">Known stock count</t>
  </si>
  <si>
    <t xml:space="preserve">1. Place order for 1 unit
2. Check product stock</t>
  </si>
  <si>
    <t xml:space="preserve">Qty 1</t>
  </si>
  <si>
    <t xml:space="preserve">Stock decreases by 1</t>
  </si>
  <si>
    <t xml:space="preserve">CHK-025</t>
  </si>
  <si>
    <t xml:space="preserve">Back button on payment page</t>
  </si>
  <si>
    <t xml:space="preserve">Payment page open</t>
  </si>
  <si>
    <t xml:space="preserve">1. Click browser Back</t>
  </si>
  <si>
    <t xml:space="preserve">No duplicate order; cart state preserved</t>
  </si>
  <si>
    <t xml:space="preserve">CHK-026</t>
  </si>
  <si>
    <t xml:space="preserve">Session timeout during checkout</t>
  </si>
  <si>
    <t xml:space="preserve">Checkout open</t>
  </si>
  <si>
    <t xml:space="preserve">1. Stay idle until session expires
2. Continue</t>
  </si>
  <si>
    <t xml:space="preserve">User redirected to login; cart preserved</t>
  </si>
  <si>
    <t xml:space="preserve">Low</t>
  </si>
  <si>
    <t xml:space="preserve">Execution Summary</t>
  </si>
  <si>
    <t xml:space="preserve">Total Test Cases</t>
  </si>
  <si>
    <t xml:space="preserve">Pass</t>
  </si>
  <si>
    <t xml:space="preserve">Fail</t>
  </si>
  <si>
    <t xml:space="preserve">Blocked</t>
  </si>
  <si>
    <t xml:space="preserve">Skipped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</si>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</sst>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44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23.85" hidden="false" customHeight="false" outlineLevel="0" collapsed="false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/>
      <c r="H3" s="3" t="s">
        <v>17</v>
      </c>
      <c r="I3" s="3" t="s">
        <v>18</v>
      </c>
      <c r="J3" s="4"/>
    </row>
    <row r="4" customFormat="false" ht="15" hidden="false" customHeight="false" outlineLevel="0" collapsed="false">
      <c r="A4" s="3" t="s">
        <v>19</v>
      </c>
      <c r="B4" s="4" t="s">
        <v>20</v>
      </c>
      <c r="C4" s="4" t="s">
        <v>21</v>
      </c>
      <c r="D4" s="4" t="s">
        <v>22</v>
      </c>
      <c r="E4" s="4" t="s">
        <v>15</v>
      </c>
      <c r="F4" s="4" t="s">
        <v>23</v>
      </c>
      <c r="G4" s="4"/>
      <c r="H4" s="3" t="s">
        <v>17</v>
      </c>
      <c r="I4" s="3" t="s">
        <v>24</v>
      </c>
      <c r="J4" s="4"/>
    </row>
    <row r="5" customFormat="false" ht="23.85" hidden="false" customHeight="false" outlineLevel="0" collapsed="false">
      <c r="A5" s="3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/>
      <c r="H5" s="3" t="s">
        <v>17</v>
      </c>
      <c r="I5" s="3" t="s">
        <v>18</v>
      </c>
      <c r="J5" s="4"/>
    </row>
    <row r="6" customFormat="false" ht="23.85" hidden="false" customHeight="false" outlineLevel="0" collapsed="false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/>
      <c r="H6" s="3" t="s">
        <v>17</v>
      </c>
      <c r="I6" s="3" t="s">
        <v>18</v>
      </c>
      <c r="J6" s="4"/>
    </row>
    <row r="7" customFormat="false" ht="15" hidden="false" customHeight="false" outlineLevel="0" collapsed="false">
      <c r="A7" s="3" t="s">
        <v>37</v>
      </c>
      <c r="B7" s="4" t="s">
        <v>38</v>
      </c>
      <c r="C7" s="4" t="s">
        <v>33</v>
      </c>
      <c r="D7" s="4" t="s">
        <v>39</v>
      </c>
      <c r="E7" s="4" t="s">
        <v>40</v>
      </c>
      <c r="F7" s="4" t="s">
        <v>41</v>
      </c>
      <c r="G7" s="4"/>
      <c r="H7" s="3" t="s">
        <v>17</v>
      </c>
      <c r="I7" s="3" t="s">
        <v>24</v>
      </c>
      <c r="J7" s="4"/>
    </row>
    <row r="8" customFormat="false" ht="15" hidden="false" customHeight="false" outlineLevel="0" collapsed="false">
      <c r="A8" s="3" t="s">
        <v>42</v>
      </c>
      <c r="B8" s="4" t="s">
        <v>43</v>
      </c>
      <c r="C8" s="4" t="s">
        <v>33</v>
      </c>
      <c r="D8" s="4" t="s">
        <v>44</v>
      </c>
      <c r="E8" s="4" t="s">
        <v>45</v>
      </c>
      <c r="F8" s="4" t="s">
        <v>46</v>
      </c>
      <c r="G8" s="4"/>
      <c r="H8" s="3" t="s">
        <v>17</v>
      </c>
      <c r="I8" s="3" t="s">
        <v>24</v>
      </c>
      <c r="J8" s="4"/>
    </row>
    <row r="9" customFormat="false" ht="15" hidden="false" customHeight="false" outlineLevel="0" collapsed="false">
      <c r="A9" s="3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/>
      <c r="H9" s="3" t="s">
        <v>17</v>
      </c>
      <c r="I9" s="3" t="s">
        <v>18</v>
      </c>
      <c r="J9" s="4"/>
    </row>
    <row r="10" customFormat="false" ht="23.85" hidden="false" customHeight="false" outlineLevel="0" collapsed="false">
      <c r="A10" s="3" t="s">
        <v>53</v>
      </c>
      <c r="B10" s="4" t="s">
        <v>54</v>
      </c>
      <c r="C10" s="4" t="s">
        <v>13</v>
      </c>
      <c r="D10" s="4" t="s">
        <v>55</v>
      </c>
      <c r="E10" s="4" t="s">
        <v>56</v>
      </c>
      <c r="F10" s="4" t="s">
        <v>57</v>
      </c>
      <c r="G10" s="4"/>
      <c r="H10" s="3" t="s">
        <v>17</v>
      </c>
      <c r="I10" s="3" t="s">
        <v>18</v>
      </c>
      <c r="J10" s="4"/>
    </row>
    <row r="11" customFormat="false" ht="15" hidden="false" customHeight="false" outlineLevel="0" collapsed="false">
      <c r="A11" s="3" t="s">
        <v>58</v>
      </c>
      <c r="B11" s="4" t="s">
        <v>59</v>
      </c>
      <c r="C11" s="4" t="s">
        <v>13</v>
      </c>
      <c r="D11" s="4" t="s">
        <v>60</v>
      </c>
      <c r="E11" s="4" t="s">
        <v>61</v>
      </c>
      <c r="F11" s="4" t="s">
        <v>62</v>
      </c>
      <c r="G11" s="4"/>
      <c r="H11" s="3" t="s">
        <v>17</v>
      </c>
      <c r="I11" s="3" t="s">
        <v>24</v>
      </c>
      <c r="J11" s="4"/>
    </row>
    <row r="12" customFormat="false" ht="15" hidden="false" customHeight="false" outlineLevel="0" collapsed="false">
      <c r="A12" s="3" t="s">
        <v>63</v>
      </c>
      <c r="B12" s="4" t="s">
        <v>64</v>
      </c>
      <c r="C12" s="4" t="s">
        <v>65</v>
      </c>
      <c r="D12" s="4" t="s">
        <v>66</v>
      </c>
      <c r="E12" s="4" t="s">
        <v>67</v>
      </c>
      <c r="F12" s="4" t="s">
        <v>68</v>
      </c>
      <c r="G12" s="4"/>
      <c r="H12" s="3" t="s">
        <v>17</v>
      </c>
      <c r="I12" s="3" t="s">
        <v>24</v>
      </c>
      <c r="J12" s="4"/>
    </row>
    <row r="13" customFormat="false" ht="15" hidden="false" customHeight="false" outlineLevel="0" collapsed="false">
      <c r="A13" s="3" t="s">
        <v>69</v>
      </c>
      <c r="B13" s="4" t="s">
        <v>70</v>
      </c>
      <c r="C13" s="4" t="s">
        <v>71</v>
      </c>
      <c r="D13" s="4" t="s">
        <v>72</v>
      </c>
      <c r="E13" s="4" t="s">
        <v>15</v>
      </c>
      <c r="F13" s="4" t="s">
        <v>73</v>
      </c>
      <c r="G13" s="4"/>
      <c r="H13" s="3" t="s">
        <v>17</v>
      </c>
      <c r="I13" s="3" t="s">
        <v>18</v>
      </c>
      <c r="J13" s="4"/>
    </row>
    <row r="14" customFormat="false" ht="35.05" hidden="false" customHeight="false" outlineLevel="0" collapsed="false">
      <c r="A14" s="3" t="s">
        <v>74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/>
      <c r="H14" s="3" t="s">
        <v>17</v>
      </c>
      <c r="I14" s="3" t="s">
        <v>18</v>
      </c>
      <c r="J14" s="4"/>
    </row>
    <row r="15" customFormat="false" ht="23.85" hidden="false" customHeight="false" outlineLevel="0" collapsed="false">
      <c r="A15" s="3" t="s">
        <v>80</v>
      </c>
      <c r="B15" s="4" t="s">
        <v>81</v>
      </c>
      <c r="C15" s="4" t="s">
        <v>33</v>
      </c>
      <c r="D15" s="4" t="s">
        <v>82</v>
      </c>
      <c r="E15" s="4" t="s">
        <v>83</v>
      </c>
      <c r="F15" s="4" t="s">
        <v>84</v>
      </c>
      <c r="G15" s="4"/>
      <c r="H15" s="3" t="s">
        <v>17</v>
      </c>
      <c r="I15" s="3" t="s">
        <v>18</v>
      </c>
      <c r="J15" s="4"/>
    </row>
    <row r="16" customFormat="false" ht="23.85" hidden="false" customHeight="false" outlineLevel="0" collapsed="false">
      <c r="A16" s="3" t="s">
        <v>85</v>
      </c>
      <c r="B16" s="4" t="s">
        <v>86</v>
      </c>
      <c r="C16" s="4" t="s">
        <v>33</v>
      </c>
      <c r="D16" s="4" t="s">
        <v>87</v>
      </c>
      <c r="E16" s="4" t="s">
        <v>88</v>
      </c>
      <c r="F16" s="4" t="s">
        <v>89</v>
      </c>
      <c r="G16" s="4"/>
      <c r="H16" s="3" t="s">
        <v>17</v>
      </c>
      <c r="I16" s="3" t="s">
        <v>18</v>
      </c>
      <c r="J16" s="4"/>
    </row>
    <row r="17" customFormat="false" ht="23.85" hidden="false" customHeight="false" outlineLevel="0" collapsed="false">
      <c r="A17" s="3" t="s">
        <v>90</v>
      </c>
      <c r="B17" s="4" t="s">
        <v>91</v>
      </c>
      <c r="C17" s="4" t="s">
        <v>33</v>
      </c>
      <c r="D17" s="4" t="s">
        <v>92</v>
      </c>
      <c r="E17" s="4" t="s">
        <v>93</v>
      </c>
      <c r="F17" s="4" t="s">
        <v>94</v>
      </c>
      <c r="G17" s="4"/>
      <c r="H17" s="3" t="s">
        <v>17</v>
      </c>
      <c r="I17" s="3" t="s">
        <v>24</v>
      </c>
      <c r="J17" s="4"/>
    </row>
    <row r="18" customFormat="false" ht="23.85" hidden="false" customHeight="false" outlineLevel="0" collapsed="false">
      <c r="A18" s="3" t="s">
        <v>95</v>
      </c>
      <c r="B18" s="4" t="s">
        <v>96</v>
      </c>
      <c r="C18" s="4" t="s">
        <v>97</v>
      </c>
      <c r="D18" s="4" t="s">
        <v>98</v>
      </c>
      <c r="E18" s="4" t="s">
        <v>15</v>
      </c>
      <c r="F18" s="4" t="s">
        <v>99</v>
      </c>
      <c r="G18" s="4"/>
      <c r="H18" s="3" t="s">
        <v>17</v>
      </c>
      <c r="I18" s="3" t="s">
        <v>18</v>
      </c>
      <c r="J18" s="4"/>
    </row>
    <row r="19" customFormat="false" ht="23.85" hidden="false" customHeight="false" outlineLevel="0" collapsed="false">
      <c r="A19" s="3" t="s">
        <v>100</v>
      </c>
      <c r="B19" s="4" t="s">
        <v>101</v>
      </c>
      <c r="C19" s="4" t="s">
        <v>102</v>
      </c>
      <c r="D19" s="4" t="s">
        <v>103</v>
      </c>
      <c r="E19" s="4" t="s">
        <v>104</v>
      </c>
      <c r="F19" s="4" t="s">
        <v>105</v>
      </c>
      <c r="G19" s="4"/>
      <c r="H19" s="3" t="s">
        <v>17</v>
      </c>
      <c r="I19" s="3" t="s">
        <v>24</v>
      </c>
      <c r="J19" s="4"/>
    </row>
    <row r="20" customFormat="false" ht="15" hidden="false" customHeight="false" outlineLevel="0" collapsed="false">
      <c r="A20" s="3" t="s">
        <v>106</v>
      </c>
      <c r="B20" s="4" t="s">
        <v>107</v>
      </c>
      <c r="C20" s="4" t="s">
        <v>108</v>
      </c>
      <c r="D20" s="4" t="s">
        <v>109</v>
      </c>
      <c r="E20" s="4" t="s">
        <v>110</v>
      </c>
      <c r="F20" s="4" t="s">
        <v>111</v>
      </c>
      <c r="G20" s="4"/>
      <c r="H20" s="3" t="s">
        <v>17</v>
      </c>
      <c r="I20" s="3" t="s">
        <v>18</v>
      </c>
      <c r="J20" s="4"/>
    </row>
    <row r="21" customFormat="false" ht="15" hidden="false" customHeight="false" outlineLevel="0" collapsed="false">
      <c r="A21" s="3" t="s">
        <v>112</v>
      </c>
      <c r="B21" s="4" t="s">
        <v>113</v>
      </c>
      <c r="C21" s="4" t="s">
        <v>114</v>
      </c>
      <c r="D21" s="4" t="s">
        <v>115</v>
      </c>
      <c r="E21" s="4" t="s">
        <v>15</v>
      </c>
      <c r="F21" s="4" t="s">
        <v>116</v>
      </c>
      <c r="G21" s="4"/>
      <c r="H21" s="3" t="s">
        <v>17</v>
      </c>
      <c r="I21" s="3" t="s">
        <v>18</v>
      </c>
      <c r="J21" s="4"/>
    </row>
    <row r="22" customFormat="false" ht="15" hidden="false" customHeight="false" outlineLevel="0" collapsed="false">
      <c r="A22" s="3" t="s">
        <v>117</v>
      </c>
      <c r="B22" s="4" t="s">
        <v>118</v>
      </c>
      <c r="C22" s="4" t="s">
        <v>119</v>
      </c>
      <c r="D22" s="4" t="s">
        <v>120</v>
      </c>
      <c r="E22" s="4" t="s">
        <v>15</v>
      </c>
      <c r="F22" s="4" t="s">
        <v>121</v>
      </c>
      <c r="G22" s="4"/>
      <c r="H22" s="3" t="s">
        <v>17</v>
      </c>
      <c r="I22" s="3" t="s">
        <v>18</v>
      </c>
      <c r="J22" s="4"/>
    </row>
    <row r="23" customFormat="false" ht="15" hidden="false" customHeight="false" outlineLevel="0" collapsed="false">
      <c r="A23" s="3" t="s">
        <v>122</v>
      </c>
      <c r="B23" s="4" t="s">
        <v>123</v>
      </c>
      <c r="C23" s="4" t="s">
        <v>119</v>
      </c>
      <c r="D23" s="4" t="s">
        <v>124</v>
      </c>
      <c r="E23" s="4" t="s">
        <v>15</v>
      </c>
      <c r="F23" s="4" t="s">
        <v>125</v>
      </c>
      <c r="G23" s="4"/>
      <c r="H23" s="3" t="s">
        <v>17</v>
      </c>
      <c r="I23" s="3" t="s">
        <v>24</v>
      </c>
      <c r="J23" s="4"/>
    </row>
    <row r="24" customFormat="false" ht="15" hidden="false" customHeight="false" outlineLevel="0" collapsed="false">
      <c r="A24" s="3" t="s">
        <v>126</v>
      </c>
      <c r="B24" s="4" t="s">
        <v>127</v>
      </c>
      <c r="C24" s="4" t="s">
        <v>119</v>
      </c>
      <c r="D24" s="4" t="s">
        <v>128</v>
      </c>
      <c r="E24" s="4" t="s">
        <v>15</v>
      </c>
      <c r="F24" s="4" t="s">
        <v>129</v>
      </c>
      <c r="G24" s="4"/>
      <c r="H24" s="3" t="s">
        <v>17</v>
      </c>
      <c r="I24" s="3" t="s">
        <v>18</v>
      </c>
      <c r="J24" s="4"/>
    </row>
    <row r="25" customFormat="false" ht="23.85" hidden="false" customHeight="false" outlineLevel="0" collapsed="false">
      <c r="A25" s="3" t="s">
        <v>130</v>
      </c>
      <c r="B25" s="4" t="s">
        <v>131</v>
      </c>
      <c r="C25" s="4" t="s">
        <v>132</v>
      </c>
      <c r="D25" s="4" t="s">
        <v>133</v>
      </c>
      <c r="E25" s="4" t="s">
        <v>15</v>
      </c>
      <c r="F25" s="4" t="s">
        <v>134</v>
      </c>
      <c r="G25" s="4"/>
      <c r="H25" s="3" t="s">
        <v>17</v>
      </c>
      <c r="I25" s="3" t="s">
        <v>24</v>
      </c>
      <c r="J25" s="4"/>
    </row>
    <row r="26" customFormat="false" ht="23.85" hidden="false" customHeight="false" outlineLevel="0" collapsed="false">
      <c r="A26" s="3" t="s">
        <v>135</v>
      </c>
      <c r="B26" s="4" t="s">
        <v>136</v>
      </c>
      <c r="C26" s="4" t="s">
        <v>137</v>
      </c>
      <c r="D26" s="4" t="s">
        <v>138</v>
      </c>
      <c r="E26" s="4" t="s">
        <v>139</v>
      </c>
      <c r="F26" s="4" t="s">
        <v>140</v>
      </c>
      <c r="G26" s="4"/>
      <c r="H26" s="3" t="s">
        <v>17</v>
      </c>
      <c r="I26" s="3" t="s">
        <v>24</v>
      </c>
      <c r="J26" s="4"/>
    </row>
    <row r="27" customFormat="false" ht="15" hidden="false" customHeight="false" outlineLevel="0" collapsed="false">
      <c r="A27" s="3" t="s">
        <v>141</v>
      </c>
      <c r="B27" s="4" t="s">
        <v>142</v>
      </c>
      <c r="C27" s="4" t="s">
        <v>143</v>
      </c>
      <c r="D27" s="4" t="s">
        <v>144</v>
      </c>
      <c r="E27" s="4" t="s">
        <v>15</v>
      </c>
      <c r="F27" s="4" t="s">
        <v>145</v>
      </c>
      <c r="G27" s="4"/>
      <c r="H27" s="3" t="s">
        <v>17</v>
      </c>
      <c r="I27" s="3" t="s">
        <v>24</v>
      </c>
      <c r="J27" s="4"/>
    </row>
    <row r="28" customFormat="false" ht="23.85" hidden="false" customHeight="false" outlineLevel="0" collapsed="false">
      <c r="A28" s="3" t="s">
        <v>146</v>
      </c>
      <c r="B28" s="4" t="s">
        <v>147</v>
      </c>
      <c r="C28" s="4" t="s">
        <v>148</v>
      </c>
      <c r="D28" s="4" t="s">
        <v>149</v>
      </c>
      <c r="E28" s="4" t="s">
        <v>15</v>
      </c>
      <c r="F28" s="4" t="s">
        <v>150</v>
      </c>
      <c r="G28" s="4"/>
      <c r="H28" s="3" t="s">
        <v>17</v>
      </c>
      <c r="I28" s="3" t="s">
        <v>151</v>
      </c>
      <c r="J28" s="4"/>
    </row>
  </sheetData>
  <autoFilter ref="A2:J28"/>
  <mergeCells count="1">
    <mergeCell ref="A1:J1"/>
  </mergeCells>
  <conditionalFormatting sqref="H3:H28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</conditionalFormatting>
  <dataValidations count="2">
    <dataValidation allowBlank="false" errorStyle="stop" operator="between" showDropDown="false" showErrorMessage="false" showInputMessage="false" sqref="H3:H28" type="list">
      <formula1>"Not Run,Pass,Fail,Blocked,Skipped"</formula1>
      <formula2>0</formula2>
    </dataValidation>
    <dataValidation allowBlank="false" errorStyle="stop" operator="between" showDropDown="false" showErrorMessage="false" showInputMessage="false" sqref="I3:I2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5" t="s">
        <v>152</v>
      </c>
    </row>
    <row r="3" customFormat="false" ht="15" hidden="false" customHeight="false" outlineLevel="0" collapsed="false">
      <c r="A3" s="6" t="s">
        <v>153</v>
      </c>
      <c r="B3" s="7" t="n">
        <f aca="false">COUNTA('Checkout Test Cases'!A3:A28)</f>
        <v>26</v>
      </c>
    </row>
    <row r="4" customFormat="false" ht="15" hidden="false" customHeight="false" outlineLevel="0" collapsed="false">
      <c r="A4" s="6" t="s">
        <v>154</v>
      </c>
      <c r="B4" s="7" t="n">
        <f aca="false">COUNTIF('Checkout Test Cases'!H3:H28,"Pass")</f>
        <v>0</v>
      </c>
    </row>
    <row r="5" customFormat="false" ht="15" hidden="false" customHeight="false" outlineLevel="0" collapsed="false">
      <c r="A5" s="6" t="s">
        <v>155</v>
      </c>
      <c r="B5" s="7" t="n">
        <f aca="false">COUNTIF('Checkout Test Cases'!H3:H28,"Fail")</f>
        <v>0</v>
      </c>
    </row>
    <row r="6" customFormat="false" ht="15" hidden="false" customHeight="false" outlineLevel="0" collapsed="false">
      <c r="A6" s="6" t="s">
        <v>156</v>
      </c>
      <c r="B6" s="7" t="n">
        <f aca="false">COUNTIF('Checkout Test Cases'!H3:H28,"Blocked")</f>
        <v>0</v>
      </c>
    </row>
    <row r="7" customFormat="false" ht="15" hidden="false" customHeight="false" outlineLevel="0" collapsed="false">
      <c r="A7" s="6" t="s">
        <v>157</v>
      </c>
      <c r="B7" s="7" t="n">
        <f aca="false">COUNTIF('Checkout Test Cases'!H3:H28,"Skipped")</f>
        <v>0</v>
      </c>
    </row>
    <row r="8" customFormat="false" ht="15" hidden="false" customHeight="false" outlineLevel="0" collapsed="false">
      <c r="A8" s="6" t="s">
        <v>17</v>
      </c>
      <c r="B8" s="7" t="n">
        <f aca="false">COUNTIF('Checkout Test Cases'!H3:H28,"Not Run")</f>
        <v>26</v>
      </c>
    </row>
    <row r="9" customFormat="false" ht="15" hidden="false" customHeight="false" outlineLevel="0" collapsed="false">
      <c r="A9" s="6" t="s">
        <v>158</v>
      </c>
      <c r="B9" s="8" t="n">
        <f aca="false">IF(B3=0,0,B4/B3)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2026-10-20T13:08:38Z</dcterms:created>
  <dc:creator>openpyxl</dc:creator>
  <dc:description/>
  <dc:language>en-US</dc:language>
  <cp:lastModifiedBy/>
  <dcterms:modified xsi:type="dcterms:W3CDTF">2026-10-20T13:08:38Z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